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E2E7C2C1-791B-4207-BF31-016B910C6A8B}" xr6:coauthVersionLast="47" xr6:coauthVersionMax="47" xr10:uidLastSave="{00000000-0000-0000-0000-000000000000}"/>
  <bookViews>
    <workbookView xWindow="12195" yWindow="0" windowWidth="8400" windowHeight="10905" xr2:uid="{F8315868-F4C3-44BC-A41F-6829C6E70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1" l="1"/>
  <c r="R37" i="1"/>
  <c r="R36" i="1"/>
  <c r="R35" i="1"/>
  <c r="R34" i="1"/>
  <c r="R33" i="1"/>
  <c r="R32" i="1"/>
  <c r="R31" i="1"/>
  <c r="R30" i="1"/>
  <c r="R29" i="1"/>
  <c r="R28" i="1"/>
  <c r="P37" i="1"/>
  <c r="P36" i="1"/>
  <c r="P35" i="1"/>
  <c r="P34" i="1"/>
  <c r="P33" i="1"/>
  <c r="P32" i="1"/>
  <c r="P31" i="1"/>
  <c r="P30" i="1"/>
  <c r="P29" i="1"/>
  <c r="O37" i="1"/>
  <c r="O36" i="1"/>
  <c r="O35" i="1"/>
  <c r="O34" i="1"/>
  <c r="O33" i="1"/>
  <c r="O32" i="1"/>
  <c r="O31" i="1"/>
  <c r="O30" i="1"/>
  <c r="O29" i="1"/>
  <c r="O28" i="1"/>
  <c r="J4" i="1"/>
  <c r="J3" i="1"/>
  <c r="K4" i="1"/>
  <c r="K3" i="1"/>
  <c r="L3" i="1"/>
  <c r="E3" i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  <c r="D12" i="1" s="1"/>
  <c r="B23" i="1"/>
  <c r="B22" i="1"/>
  <c r="B33" i="1"/>
  <c r="B32" i="1"/>
  <c r="B43" i="1"/>
  <c r="B42" i="1"/>
  <c r="B53" i="1"/>
  <c r="B52" i="1"/>
  <c r="B63" i="1"/>
  <c r="B62" i="1"/>
  <c r="B73" i="1"/>
  <c r="B72" i="1"/>
  <c r="B83" i="1"/>
  <c r="B82" i="1"/>
  <c r="B93" i="1"/>
  <c r="B92" i="1"/>
  <c r="B112" i="1"/>
  <c r="B113" i="1"/>
  <c r="B103" i="1"/>
  <c r="B102" i="1"/>
  <c r="C113" i="1"/>
  <c r="C112" i="1"/>
  <c r="C103" i="1"/>
  <c r="C102" i="1"/>
  <c r="C93" i="1"/>
  <c r="C92" i="1"/>
  <c r="C83" i="1"/>
  <c r="C82" i="1"/>
  <c r="C73" i="1"/>
  <c r="C72" i="1"/>
  <c r="C63" i="1"/>
  <c r="C62" i="1"/>
  <c r="C53" i="1"/>
  <c r="C52" i="1"/>
  <c r="C43" i="1"/>
  <c r="C42" i="1"/>
  <c r="C33" i="1"/>
  <c r="C32" i="1"/>
  <c r="C23" i="1"/>
  <c r="C22" i="1"/>
  <c r="Y20" i="1" l="1"/>
  <c r="Y6" i="1"/>
  <c r="Y4" i="1"/>
  <c r="Y23" i="1"/>
  <c r="Y22" i="1"/>
  <c r="Y21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5" i="1"/>
  <c r="Y3" i="1"/>
  <c r="L4" i="1"/>
</calcChain>
</file>

<file path=xl/sharedStrings.xml><?xml version="1.0" encoding="utf-8"?>
<sst xmlns="http://schemas.openxmlformats.org/spreadsheetml/2006/main" count="136" uniqueCount="47">
  <si>
    <t>Variabel</t>
  </si>
  <si>
    <t>Naïve Estimation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</si>
  <si>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</si>
  <si>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</si>
  <si>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</si>
  <si>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</si>
  <si>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</si>
  <si>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</si>
  <si>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</si>
  <si>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</si>
  <si>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</si>
  <si>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</si>
  <si>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Tabel Perhitungan Naïve Estimation</t>
  </si>
  <si>
    <t>Tabel Perhitungan Naïve Estimation X1</t>
  </si>
  <si>
    <t>Skor</t>
  </si>
  <si>
    <t>Frekuensi</t>
  </si>
  <si>
    <t>Total Responden (TR)</t>
  </si>
  <si>
    <t>Jumlah Setuju (JS (4+5))</t>
  </si>
  <si>
    <t>TR</t>
  </si>
  <si>
    <t>JS (4+5)</t>
  </si>
  <si>
    <t>Naïve Estimation (%)</t>
  </si>
  <si>
    <t>Tabel Perhitungan Naïve Estimation X2</t>
  </si>
  <si>
    <t>Tabel Perhitungan Naïve Estimation X3</t>
  </si>
  <si>
    <t>Tabel Perhitungan Naïve Estimation X4</t>
  </si>
  <si>
    <t>Tabel Perhitungan Naïve Estimation X5</t>
  </si>
  <si>
    <t>Tabel Perhitungan Naïve Estimation X6</t>
  </si>
  <si>
    <t>Tabel Perhitungan Naïve Estimation X7</t>
  </si>
  <si>
    <t>Tabel Perhitungan Naïve Estimation X8</t>
  </si>
  <si>
    <t>Tabel Perhitungan Naïve Estimation X9</t>
  </si>
  <si>
    <t>Tabel Perhitungan Naïve Estimation X10</t>
  </si>
  <si>
    <t>Jenis Kelamin</t>
  </si>
  <si>
    <t>Populasi</t>
  </si>
  <si>
    <t>Sampel</t>
  </si>
  <si>
    <t>Proporsi Populasi</t>
  </si>
  <si>
    <t>Proporsi Sampel</t>
  </si>
  <si>
    <t>Weight</t>
  </si>
  <si>
    <t>Laki-laki</t>
  </si>
  <si>
    <t>Perempuan</t>
  </si>
  <si>
    <t>Total</t>
  </si>
  <si>
    <t>Weighting Sederhana</t>
  </si>
  <si>
    <t>NE(%)</t>
  </si>
  <si>
    <t>MEAN</t>
  </si>
  <si>
    <t>Weighting Sederhana Tiap Variabel</t>
  </si>
  <si>
    <t>Weighted Mean</t>
  </si>
  <si>
    <t>Naive Mean</t>
  </si>
  <si>
    <t>PERBANDINGAN NAÏVE ESTIMATION DAN WEIGHTED ESTIMATION</t>
  </si>
  <si>
    <t>Mean NE - Mean 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</si>
</sst>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2" formatCode="0.000"/>
    <numFmt numFmtId="176" formatCode="_-* #,##0.0000_-;\-* #,##0.00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EF75BE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/>
      <right style="thin">
        <color rgb="FF5B3F86"/>
      </right>
      <top/>
      <bottom/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 style="thin">
        <color rgb="FF5B3F86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9" fontId="0" fillId="0" borderId="0" xfId="2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76" fontId="0" fillId="4" borderId="0" xfId="1" applyNumberFormat="1" applyFont="1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0" fillId="2" borderId="0" xfId="0" applyFill="1"/>
    <xf numFmtId="172" fontId="0" fillId="0" borderId="0" xfId="0" applyNumberFormat="1"/>
    <xf numFmtId="2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EF75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1CDF-5297-4373-8EAC-EC1416342C21}">
  <dimension ref="A1:Y113"/>
  <sheetViews>
    <sheetView tabSelected="1" topLeftCell="L21" workbookViewId="0">
      <selection activeCell="P28" sqref="P28:P37"/>
    </sheetView>
  </sheetViews>
  <sheetFormatPr defaultRowHeight="15" x14ac:dyDescent="0.25"/>
  <cols>
    <col min="1" max="1" width="11.42578125" style="1" customWidth="1"/>
    <col min="2" max="2" width="25" style="1" customWidth="1"/>
    <col min="3" max="3" width="21" style="1" customWidth="1"/>
    <col min="4" max="4" width="18" style="1" customWidth="1"/>
    <col min="5" max="5" width="15.5703125" customWidth="1"/>
    <col min="6" max="6" width="13.85546875" customWidth="1"/>
    <col min="7" max="7" width="13.42578125" customWidth="1"/>
    <col min="8" max="8" width="10.7109375" customWidth="1"/>
    <col min="9" max="9" width="12.85546875" customWidth="1"/>
    <col min="10" max="10" width="18" customWidth="1"/>
    <col min="11" max="11" width="17.140625" customWidth="1"/>
    <col min="14" max="14" width="15.28515625" style="12" customWidth="1"/>
    <col min="18" max="18" width="15.5703125" customWidth="1"/>
    <col min="25" max="25" width="9.140625" style="12"/>
  </cols>
  <sheetData>
    <row r="1" spans="1:25" x14ac:dyDescent="0.25">
      <c r="A1" s="2" t="s">
        <v>0</v>
      </c>
      <c r="B1" s="2" t="s">
        <v>17</v>
      </c>
      <c r="C1" s="2" t="s">
        <v>16</v>
      </c>
      <c r="D1" s="2" t="s">
        <v>1</v>
      </c>
      <c r="E1" s="2" t="s">
        <v>40</v>
      </c>
      <c r="G1" s="13" t="s">
        <v>39</v>
      </c>
      <c r="H1" s="13"/>
      <c r="I1" s="13"/>
      <c r="J1" s="13"/>
      <c r="K1" s="13"/>
      <c r="L1" s="13"/>
      <c r="N1" s="13" t="s">
        <v>42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x14ac:dyDescent="0.25">
      <c r="A2" s="2" t="s">
        <v>2</v>
      </c>
      <c r="B2" s="9">
        <v>17</v>
      </c>
      <c r="C2" s="9">
        <v>21</v>
      </c>
      <c r="D2" s="14">
        <f>B2/C2</f>
        <v>0.80952380952380953</v>
      </c>
      <c r="E2" s="10">
        <f>B2/C2</f>
        <v>0.80952380952380953</v>
      </c>
      <c r="G2" s="9" t="s">
        <v>30</v>
      </c>
      <c r="H2" s="9" t="s">
        <v>31</v>
      </c>
      <c r="I2" s="9" t="s">
        <v>32</v>
      </c>
      <c r="J2" s="9" t="s">
        <v>33</v>
      </c>
      <c r="K2" s="9" t="s">
        <v>34</v>
      </c>
      <c r="L2" s="9" t="s">
        <v>35</v>
      </c>
      <c r="N2" s="16" t="s">
        <v>30</v>
      </c>
      <c r="O2" s="17" t="s">
        <v>2</v>
      </c>
      <c r="P2" s="17" t="s">
        <v>3</v>
      </c>
      <c r="Q2" s="17" t="s">
        <v>4</v>
      </c>
      <c r="R2" s="17" t="s">
        <v>5</v>
      </c>
      <c r="S2" s="17" t="s">
        <v>6</v>
      </c>
      <c r="T2" s="17" t="s">
        <v>7</v>
      </c>
      <c r="U2" s="17" t="s">
        <v>8</v>
      </c>
      <c r="V2" s="17" t="s">
        <v>9</v>
      </c>
      <c r="W2" s="17" t="s">
        <v>10</v>
      </c>
      <c r="X2" s="17" t="s">
        <v>11</v>
      </c>
      <c r="Y2" s="17" t="s">
        <v>35</v>
      </c>
    </row>
    <row r="3" spans="1:25" x14ac:dyDescent="0.25">
      <c r="A3" s="2" t="s">
        <v>3</v>
      </c>
      <c r="B3" s="9">
        <v>16</v>
      </c>
      <c r="C3" s="9">
        <v>21</v>
      </c>
      <c r="D3" s="14">
        <f t="shared" ref="D3:D11" si="0">B3/C3</f>
        <v>0.76190476190476186</v>
      </c>
      <c r="E3" s="10">
        <f t="shared" ref="E3:E11" si="1">B3/C3</f>
        <v>0.76190476190476186</v>
      </c>
      <c r="G3" s="1" t="s">
        <v>36</v>
      </c>
      <c r="H3" s="1">
        <v>30</v>
      </c>
      <c r="I3" s="1">
        <v>3</v>
      </c>
      <c r="J3" s="5">
        <f>H3/H5</f>
        <v>0.19480519480519481</v>
      </c>
      <c r="K3" s="5">
        <f>I3/$C$4</f>
        <v>0.14285714285714285</v>
      </c>
      <c r="L3" s="6">
        <f>J3/K3</f>
        <v>1.3636363636363638</v>
      </c>
      <c r="N3" s="17" t="s">
        <v>37</v>
      </c>
      <c r="O3" s="18">
        <v>4</v>
      </c>
      <c r="P3" s="18">
        <v>4</v>
      </c>
      <c r="Q3" s="18">
        <v>5</v>
      </c>
      <c r="R3" s="18">
        <v>5</v>
      </c>
      <c r="S3" s="18">
        <v>3</v>
      </c>
      <c r="T3" s="18">
        <v>4</v>
      </c>
      <c r="U3" s="18">
        <v>4</v>
      </c>
      <c r="V3" s="18">
        <v>4</v>
      </c>
      <c r="W3" s="18">
        <v>4</v>
      </c>
      <c r="X3" s="19">
        <v>5</v>
      </c>
      <c r="Y3" s="26">
        <f>J4/K4</f>
        <v>0.93939393939393945</v>
      </c>
    </row>
    <row r="4" spans="1:25" x14ac:dyDescent="0.25">
      <c r="A4" s="2" t="s">
        <v>4</v>
      </c>
      <c r="B4" s="9">
        <v>13</v>
      </c>
      <c r="C4" s="9">
        <v>21</v>
      </c>
      <c r="D4" s="14">
        <f t="shared" si="0"/>
        <v>0.61904761904761907</v>
      </c>
      <c r="E4" s="10">
        <f t="shared" si="1"/>
        <v>0.61904761904761907</v>
      </c>
      <c r="G4" s="1" t="s">
        <v>37</v>
      </c>
      <c r="H4" s="1">
        <v>124</v>
      </c>
      <c r="I4" s="1">
        <v>18</v>
      </c>
      <c r="J4" s="5">
        <f>H4/H5</f>
        <v>0.80519480519480524</v>
      </c>
      <c r="K4" s="5">
        <f>I4/$C$4</f>
        <v>0.8571428571428571</v>
      </c>
      <c r="L4" s="6">
        <f>J4/K4</f>
        <v>0.93939393939393945</v>
      </c>
      <c r="N4" s="16" t="s">
        <v>36</v>
      </c>
      <c r="O4" s="20">
        <v>5</v>
      </c>
      <c r="P4" s="20">
        <v>5</v>
      </c>
      <c r="Q4" s="20">
        <v>3</v>
      </c>
      <c r="R4" s="20">
        <v>2</v>
      </c>
      <c r="S4" s="20">
        <v>2</v>
      </c>
      <c r="T4" s="20">
        <v>3</v>
      </c>
      <c r="U4" s="20">
        <v>3</v>
      </c>
      <c r="V4" s="20">
        <v>3</v>
      </c>
      <c r="W4" s="20">
        <v>3</v>
      </c>
      <c r="X4" s="21">
        <v>4</v>
      </c>
      <c r="Y4" s="6">
        <f>J3/K3</f>
        <v>1.3636363636363638</v>
      </c>
    </row>
    <row r="5" spans="1:25" x14ac:dyDescent="0.25">
      <c r="A5" s="2" t="s">
        <v>5</v>
      </c>
      <c r="B5" s="9">
        <v>10</v>
      </c>
      <c r="C5" s="9">
        <v>21</v>
      </c>
      <c r="D5" s="14">
        <f t="shared" si="0"/>
        <v>0.47619047619047616</v>
      </c>
      <c r="E5" s="10">
        <f t="shared" si="1"/>
        <v>0.47619047619047616</v>
      </c>
      <c r="G5" s="1" t="s">
        <v>38</v>
      </c>
      <c r="H5" s="1">
        <v>154</v>
      </c>
      <c r="I5" s="1">
        <v>21</v>
      </c>
      <c r="J5" s="5"/>
      <c r="K5" s="1"/>
      <c r="L5" s="1"/>
      <c r="N5" s="17" t="s">
        <v>37</v>
      </c>
      <c r="O5" s="18">
        <v>4</v>
      </c>
      <c r="P5" s="18">
        <v>4</v>
      </c>
      <c r="Q5" s="18">
        <v>4</v>
      </c>
      <c r="R5" s="18">
        <v>4</v>
      </c>
      <c r="S5" s="18">
        <v>4</v>
      </c>
      <c r="T5" s="18">
        <v>4</v>
      </c>
      <c r="U5" s="18">
        <v>4</v>
      </c>
      <c r="V5" s="18">
        <v>4</v>
      </c>
      <c r="W5" s="18">
        <v>4</v>
      </c>
      <c r="X5" s="19">
        <v>4</v>
      </c>
      <c r="Y5" s="26">
        <f>J4/K4</f>
        <v>0.93939393939393945</v>
      </c>
    </row>
    <row r="6" spans="1:25" x14ac:dyDescent="0.25">
      <c r="A6" s="2" t="s">
        <v>6</v>
      </c>
      <c r="B6" s="9">
        <v>9</v>
      </c>
      <c r="C6" s="9">
        <v>21</v>
      </c>
      <c r="D6" s="14">
        <f t="shared" si="0"/>
        <v>0.42857142857142855</v>
      </c>
      <c r="E6" s="10">
        <f t="shared" si="1"/>
        <v>0.42857142857142855</v>
      </c>
      <c r="G6" s="1"/>
      <c r="N6" s="16" t="s">
        <v>36</v>
      </c>
      <c r="O6" s="20">
        <v>2</v>
      </c>
      <c r="P6" s="20">
        <v>2</v>
      </c>
      <c r="Q6" s="20">
        <v>2</v>
      </c>
      <c r="R6" s="20">
        <v>2</v>
      </c>
      <c r="S6" s="20">
        <v>2</v>
      </c>
      <c r="T6" s="20">
        <v>2</v>
      </c>
      <c r="U6" s="20">
        <v>2</v>
      </c>
      <c r="V6" s="20">
        <v>2</v>
      </c>
      <c r="W6" s="20">
        <v>2</v>
      </c>
      <c r="X6" s="21">
        <v>2</v>
      </c>
      <c r="Y6" s="26">
        <f>J3/K3</f>
        <v>1.3636363636363638</v>
      </c>
    </row>
    <row r="7" spans="1:25" x14ac:dyDescent="0.25">
      <c r="A7" s="2" t="s">
        <v>7</v>
      </c>
      <c r="B7" s="9">
        <v>9</v>
      </c>
      <c r="C7" s="9">
        <v>21</v>
      </c>
      <c r="D7" s="14">
        <f t="shared" si="0"/>
        <v>0.42857142857142855</v>
      </c>
      <c r="E7" s="10">
        <f t="shared" si="1"/>
        <v>0.42857142857142855</v>
      </c>
      <c r="N7" s="17" t="s">
        <v>37</v>
      </c>
      <c r="O7" s="18">
        <v>3</v>
      </c>
      <c r="P7" s="18">
        <v>3</v>
      </c>
      <c r="Q7" s="18">
        <v>3</v>
      </c>
      <c r="R7" s="18">
        <v>3</v>
      </c>
      <c r="S7" s="18">
        <v>3</v>
      </c>
      <c r="T7" s="18">
        <v>5</v>
      </c>
      <c r="U7" s="18">
        <v>4</v>
      </c>
      <c r="V7" s="18">
        <v>4</v>
      </c>
      <c r="W7" s="18">
        <v>5</v>
      </c>
      <c r="X7" s="19">
        <v>5</v>
      </c>
      <c r="Y7" s="26">
        <f>J4/K4</f>
        <v>0.93939393939393945</v>
      </c>
    </row>
    <row r="8" spans="1:25" x14ac:dyDescent="0.25">
      <c r="A8" s="2" t="s">
        <v>8</v>
      </c>
      <c r="B8" s="9">
        <v>11</v>
      </c>
      <c r="C8" s="9">
        <v>21</v>
      </c>
      <c r="D8" s="14">
        <f t="shared" si="0"/>
        <v>0.52380952380952384</v>
      </c>
      <c r="E8" s="10">
        <f t="shared" si="1"/>
        <v>0.52380952380952384</v>
      </c>
      <c r="N8" s="17" t="s">
        <v>37</v>
      </c>
      <c r="O8" s="20">
        <v>4</v>
      </c>
      <c r="P8" s="20">
        <v>4</v>
      </c>
      <c r="Q8" s="20">
        <v>2</v>
      </c>
      <c r="R8" s="20">
        <v>1</v>
      </c>
      <c r="S8" s="20">
        <v>3</v>
      </c>
      <c r="T8" s="20">
        <v>3</v>
      </c>
      <c r="U8" s="20">
        <v>2</v>
      </c>
      <c r="V8" s="20">
        <v>2</v>
      </c>
      <c r="W8" s="20">
        <v>2</v>
      </c>
      <c r="X8" s="21">
        <v>2</v>
      </c>
      <c r="Y8" s="26">
        <f>J4/K4</f>
        <v>0.93939393939393945</v>
      </c>
    </row>
    <row r="9" spans="1:25" x14ac:dyDescent="0.25">
      <c r="A9" s="2" t="s">
        <v>9</v>
      </c>
      <c r="B9" s="9">
        <v>9</v>
      </c>
      <c r="C9" s="9">
        <v>21</v>
      </c>
      <c r="D9" s="14">
        <f t="shared" si="0"/>
        <v>0.42857142857142855</v>
      </c>
      <c r="E9" s="10">
        <f t="shared" si="1"/>
        <v>0.42857142857142855</v>
      </c>
      <c r="N9" s="17" t="s">
        <v>37</v>
      </c>
      <c r="O9" s="18">
        <v>4</v>
      </c>
      <c r="P9" s="18">
        <v>4</v>
      </c>
      <c r="Q9" s="18">
        <v>4</v>
      </c>
      <c r="R9" s="18">
        <v>4</v>
      </c>
      <c r="S9" s="18">
        <v>4</v>
      </c>
      <c r="T9" s="18">
        <v>4</v>
      </c>
      <c r="U9" s="18">
        <v>4</v>
      </c>
      <c r="V9" s="18">
        <v>4</v>
      </c>
      <c r="W9" s="18">
        <v>4</v>
      </c>
      <c r="X9" s="19">
        <v>4</v>
      </c>
      <c r="Y9" s="26">
        <f>J4/K4</f>
        <v>0.93939393939393945</v>
      </c>
    </row>
    <row r="10" spans="1:25" x14ac:dyDescent="0.25">
      <c r="A10" s="2" t="s">
        <v>10</v>
      </c>
      <c r="B10" s="9">
        <v>10</v>
      </c>
      <c r="C10" s="9">
        <v>21</v>
      </c>
      <c r="D10" s="14">
        <f t="shared" si="0"/>
        <v>0.47619047619047616</v>
      </c>
      <c r="E10" s="10">
        <f t="shared" si="1"/>
        <v>0.47619047619047616</v>
      </c>
      <c r="N10" s="17" t="s">
        <v>37</v>
      </c>
      <c r="O10" s="20">
        <v>5</v>
      </c>
      <c r="P10" s="20">
        <v>5</v>
      </c>
      <c r="Q10" s="20">
        <v>5</v>
      </c>
      <c r="R10" s="20">
        <v>5</v>
      </c>
      <c r="S10" s="20">
        <v>5</v>
      </c>
      <c r="T10" s="20">
        <v>5</v>
      </c>
      <c r="U10" s="20">
        <v>5</v>
      </c>
      <c r="V10" s="20">
        <v>3</v>
      </c>
      <c r="W10" s="20">
        <v>4</v>
      </c>
      <c r="X10" s="21">
        <v>4</v>
      </c>
      <c r="Y10" s="26">
        <f>J4/K4</f>
        <v>0.93939393939393945</v>
      </c>
    </row>
    <row r="11" spans="1:25" x14ac:dyDescent="0.25">
      <c r="A11" s="2" t="s">
        <v>11</v>
      </c>
      <c r="B11" s="9">
        <v>15</v>
      </c>
      <c r="C11" s="9">
        <v>21</v>
      </c>
      <c r="D11" s="14">
        <f t="shared" si="0"/>
        <v>0.7142857142857143</v>
      </c>
      <c r="E11" s="10">
        <f t="shared" si="1"/>
        <v>0.7142857142857143</v>
      </c>
      <c r="N11" s="17" t="s">
        <v>37</v>
      </c>
      <c r="O11" s="18">
        <v>4</v>
      </c>
      <c r="P11" s="18">
        <v>4</v>
      </c>
      <c r="Q11" s="18">
        <v>4</v>
      </c>
      <c r="R11" s="18">
        <v>4</v>
      </c>
      <c r="S11" s="18">
        <v>3</v>
      </c>
      <c r="T11" s="18">
        <v>2</v>
      </c>
      <c r="U11" s="18">
        <v>3</v>
      </c>
      <c r="V11" s="18">
        <v>3</v>
      </c>
      <c r="W11" s="18">
        <v>2</v>
      </c>
      <c r="X11" s="19">
        <v>3</v>
      </c>
      <c r="Y11" s="26">
        <f>J4/K4</f>
        <v>0.93939393939393945</v>
      </c>
    </row>
    <row r="12" spans="1:25" x14ac:dyDescent="0.25">
      <c r="A12" s="4" t="s">
        <v>41</v>
      </c>
      <c r="B12" s="4"/>
      <c r="C12" s="4"/>
      <c r="D12" s="15">
        <f>AVERAGE(D2:D11)</f>
        <v>0.56666666666666665</v>
      </c>
      <c r="N12" s="17" t="s">
        <v>37</v>
      </c>
      <c r="O12" s="20">
        <v>3</v>
      </c>
      <c r="P12" s="20">
        <v>4</v>
      </c>
      <c r="Q12" s="20">
        <v>4</v>
      </c>
      <c r="R12" s="20">
        <v>3</v>
      </c>
      <c r="S12" s="20">
        <v>4</v>
      </c>
      <c r="T12" s="20">
        <v>4</v>
      </c>
      <c r="U12" s="20">
        <v>4</v>
      </c>
      <c r="V12" s="20">
        <v>3</v>
      </c>
      <c r="W12" s="20">
        <v>3</v>
      </c>
      <c r="X12" s="21">
        <v>3</v>
      </c>
      <c r="Y12" s="26">
        <f>J4/K4</f>
        <v>0.93939393939393945</v>
      </c>
    </row>
    <row r="13" spans="1:25" x14ac:dyDescent="0.25">
      <c r="N13" s="17" t="s">
        <v>37</v>
      </c>
      <c r="O13" s="18">
        <v>3</v>
      </c>
      <c r="P13" s="18">
        <v>3</v>
      </c>
      <c r="Q13" s="18">
        <v>3</v>
      </c>
      <c r="R13" s="18">
        <v>3</v>
      </c>
      <c r="S13" s="18">
        <v>2</v>
      </c>
      <c r="T13" s="18">
        <v>2</v>
      </c>
      <c r="U13" s="18">
        <v>3</v>
      </c>
      <c r="V13" s="18">
        <v>3</v>
      </c>
      <c r="W13" s="18">
        <v>4</v>
      </c>
      <c r="X13" s="19">
        <v>3</v>
      </c>
      <c r="Y13" s="26">
        <f>J4/K4</f>
        <v>0.93939393939393945</v>
      </c>
    </row>
    <row r="14" spans="1:25" x14ac:dyDescent="0.25">
      <c r="A14" s="3" t="s">
        <v>12</v>
      </c>
      <c r="B14" s="3"/>
      <c r="C14" s="3"/>
      <c r="N14" s="17" t="s">
        <v>37</v>
      </c>
      <c r="O14" s="20">
        <v>4</v>
      </c>
      <c r="P14" s="20">
        <v>4</v>
      </c>
      <c r="Q14" s="20">
        <v>4</v>
      </c>
      <c r="R14" s="20">
        <v>3</v>
      </c>
      <c r="S14" s="20">
        <v>2</v>
      </c>
      <c r="T14" s="20">
        <v>3</v>
      </c>
      <c r="U14" s="20">
        <v>4</v>
      </c>
      <c r="V14" s="20">
        <v>4</v>
      </c>
      <c r="W14" s="20">
        <v>4</v>
      </c>
      <c r="X14" s="21">
        <v>5</v>
      </c>
      <c r="Y14" s="26">
        <f>J4/K4</f>
        <v>0.93939393939393945</v>
      </c>
    </row>
    <row r="15" spans="1:25" x14ac:dyDescent="0.25">
      <c r="A15" s="8" t="s">
        <v>13</v>
      </c>
      <c r="B15" s="8"/>
      <c r="C15" s="8"/>
      <c r="N15" s="17" t="s">
        <v>37</v>
      </c>
      <c r="O15" s="18">
        <v>4</v>
      </c>
      <c r="P15" s="18">
        <v>4</v>
      </c>
      <c r="Q15" s="18">
        <v>4</v>
      </c>
      <c r="R15" s="18">
        <v>3</v>
      </c>
      <c r="S15" s="18">
        <v>2</v>
      </c>
      <c r="T15" s="18">
        <v>3</v>
      </c>
      <c r="U15" s="18">
        <v>3</v>
      </c>
      <c r="V15" s="18">
        <v>2</v>
      </c>
      <c r="W15" s="18">
        <v>3</v>
      </c>
      <c r="X15" s="19">
        <v>3</v>
      </c>
      <c r="Y15" s="26">
        <f>J4/K4</f>
        <v>0.93939393939393945</v>
      </c>
    </row>
    <row r="16" spans="1:25" x14ac:dyDescent="0.25">
      <c r="A16" s="1" t="s">
        <v>14</v>
      </c>
      <c r="B16" s="1" t="s">
        <v>15</v>
      </c>
      <c r="C16" s="1" t="s">
        <v>20</v>
      </c>
      <c r="N16" s="17" t="s">
        <v>37</v>
      </c>
      <c r="O16" s="20">
        <v>4</v>
      </c>
      <c r="P16" s="20">
        <v>4</v>
      </c>
      <c r="Q16" s="20">
        <v>4</v>
      </c>
      <c r="R16" s="20">
        <v>4</v>
      </c>
      <c r="S16" s="20">
        <v>4</v>
      </c>
      <c r="T16" s="20">
        <v>4</v>
      </c>
      <c r="U16" s="20">
        <v>4</v>
      </c>
      <c r="V16" s="20">
        <v>4</v>
      </c>
      <c r="W16" s="20">
        <v>4</v>
      </c>
      <c r="X16" s="21">
        <v>4</v>
      </c>
      <c r="Y16" s="26">
        <f>J4/K4</f>
        <v>0.93939393939393945</v>
      </c>
    </row>
    <row r="17" spans="1:25" x14ac:dyDescent="0.25">
      <c r="A17" s="1">
        <v>1</v>
      </c>
      <c r="B17" s="1">
        <v>0</v>
      </c>
      <c r="N17" s="17" t="s">
        <v>37</v>
      </c>
      <c r="O17" s="18">
        <v>4</v>
      </c>
      <c r="P17" s="18">
        <v>3</v>
      </c>
      <c r="Q17" s="18">
        <v>3</v>
      </c>
      <c r="R17" s="18">
        <v>3</v>
      </c>
      <c r="S17" s="18">
        <v>3</v>
      </c>
      <c r="T17" s="18">
        <v>3</v>
      </c>
      <c r="U17" s="18">
        <v>3</v>
      </c>
      <c r="V17" s="18">
        <v>3</v>
      </c>
      <c r="W17" s="18">
        <v>3</v>
      </c>
      <c r="X17" s="19">
        <v>4</v>
      </c>
      <c r="Y17" s="26">
        <f>J4/K4</f>
        <v>0.93939393939393945</v>
      </c>
    </row>
    <row r="18" spans="1:25" x14ac:dyDescent="0.25">
      <c r="A18" s="1">
        <v>2</v>
      </c>
      <c r="B18" s="1">
        <v>1</v>
      </c>
      <c r="N18" s="17" t="s">
        <v>37</v>
      </c>
      <c r="O18" s="20">
        <v>4</v>
      </c>
      <c r="P18" s="20">
        <v>4</v>
      </c>
      <c r="Q18" s="20">
        <v>3</v>
      </c>
      <c r="R18" s="20">
        <v>3</v>
      </c>
      <c r="S18" s="20">
        <v>3</v>
      </c>
      <c r="T18" s="20">
        <v>3</v>
      </c>
      <c r="U18" s="20">
        <v>3</v>
      </c>
      <c r="V18" s="20">
        <v>3</v>
      </c>
      <c r="W18" s="20">
        <v>3</v>
      </c>
      <c r="X18" s="21">
        <v>4</v>
      </c>
      <c r="Y18" s="26">
        <f>J4/K4</f>
        <v>0.93939393939393945</v>
      </c>
    </row>
    <row r="19" spans="1:25" x14ac:dyDescent="0.25">
      <c r="A19" s="1">
        <v>3</v>
      </c>
      <c r="B19" s="1">
        <v>3</v>
      </c>
      <c r="N19" s="17" t="s">
        <v>37</v>
      </c>
      <c r="O19" s="18">
        <v>4</v>
      </c>
      <c r="P19" s="18">
        <v>3</v>
      </c>
      <c r="Q19" s="18">
        <v>3</v>
      </c>
      <c r="R19" s="18">
        <v>4</v>
      </c>
      <c r="S19" s="18">
        <v>4</v>
      </c>
      <c r="T19" s="18">
        <v>2</v>
      </c>
      <c r="U19" s="18">
        <v>3</v>
      </c>
      <c r="V19" s="18">
        <v>3</v>
      </c>
      <c r="W19" s="18">
        <v>3</v>
      </c>
      <c r="X19" s="19">
        <v>4</v>
      </c>
      <c r="Y19" s="26">
        <f>J4/K4</f>
        <v>0.93939393939393945</v>
      </c>
    </row>
    <row r="20" spans="1:25" x14ac:dyDescent="0.25">
      <c r="A20" s="1">
        <v>4</v>
      </c>
      <c r="B20" s="1">
        <v>14</v>
      </c>
      <c r="N20" s="16" t="s">
        <v>36</v>
      </c>
      <c r="O20" s="20">
        <v>5</v>
      </c>
      <c r="P20" s="20">
        <v>5</v>
      </c>
      <c r="Q20" s="20">
        <v>5</v>
      </c>
      <c r="R20" s="20">
        <v>5</v>
      </c>
      <c r="S20" s="20">
        <v>5</v>
      </c>
      <c r="T20" s="20">
        <v>5</v>
      </c>
      <c r="U20" s="20">
        <v>5</v>
      </c>
      <c r="V20" s="20">
        <v>5</v>
      </c>
      <c r="W20" s="20">
        <v>5</v>
      </c>
      <c r="X20" s="21">
        <v>5</v>
      </c>
      <c r="Y20" s="26">
        <f>J3/K3</f>
        <v>1.3636363636363638</v>
      </c>
    </row>
    <row r="21" spans="1:25" x14ac:dyDescent="0.25">
      <c r="A21" s="1">
        <v>5</v>
      </c>
      <c r="B21" s="1">
        <v>3</v>
      </c>
      <c r="N21" s="17" t="s">
        <v>37</v>
      </c>
      <c r="O21" s="18">
        <v>4</v>
      </c>
      <c r="P21" s="18">
        <v>4</v>
      </c>
      <c r="Q21" s="18">
        <v>4</v>
      </c>
      <c r="R21" s="18">
        <v>3</v>
      </c>
      <c r="S21" s="18">
        <v>4</v>
      </c>
      <c r="T21" s="18">
        <v>3</v>
      </c>
      <c r="U21" s="18">
        <v>3</v>
      </c>
      <c r="V21" s="18">
        <v>3</v>
      </c>
      <c r="W21" s="18">
        <v>3</v>
      </c>
      <c r="X21" s="19">
        <v>4</v>
      </c>
      <c r="Y21" s="26">
        <f>J4/K4</f>
        <v>0.93939393939393945</v>
      </c>
    </row>
    <row r="22" spans="1:25" x14ac:dyDescent="0.25">
      <c r="A22" s="9" t="s">
        <v>18</v>
      </c>
      <c r="B22" s="9">
        <f>SUM(B17:B21)</f>
        <v>21</v>
      </c>
      <c r="C22" s="2">
        <f>(B23/B22)</f>
        <v>0.80952380952380953</v>
      </c>
      <c r="N22" s="17" t="s">
        <v>37</v>
      </c>
      <c r="O22" s="20">
        <v>4</v>
      </c>
      <c r="P22" s="20">
        <v>5</v>
      </c>
      <c r="Q22" s="20">
        <v>4</v>
      </c>
      <c r="R22" s="20">
        <v>4</v>
      </c>
      <c r="S22" s="20">
        <v>3</v>
      </c>
      <c r="T22" s="20">
        <v>3</v>
      </c>
      <c r="U22" s="20">
        <v>4</v>
      </c>
      <c r="V22" s="20">
        <v>4</v>
      </c>
      <c r="W22" s="20">
        <v>3</v>
      </c>
      <c r="X22" s="21">
        <v>4</v>
      </c>
      <c r="Y22" s="26">
        <f>J4/K4</f>
        <v>0.93939393939393945</v>
      </c>
    </row>
    <row r="23" spans="1:25" x14ac:dyDescent="0.25">
      <c r="A23" s="9" t="s">
        <v>19</v>
      </c>
      <c r="B23" s="9">
        <f>(B20+B21)</f>
        <v>17</v>
      </c>
      <c r="C23" s="7">
        <f>(B23/B22)*100</f>
        <v>80.952380952380949</v>
      </c>
      <c r="N23" s="17" t="s">
        <v>37</v>
      </c>
      <c r="O23" s="22">
        <v>4</v>
      </c>
      <c r="P23" s="22">
        <v>4</v>
      </c>
      <c r="Q23" s="22">
        <v>4</v>
      </c>
      <c r="R23" s="22">
        <v>4</v>
      </c>
      <c r="S23" s="22">
        <v>4</v>
      </c>
      <c r="T23" s="22">
        <v>4</v>
      </c>
      <c r="U23" s="22">
        <v>4</v>
      </c>
      <c r="V23" s="22">
        <v>4</v>
      </c>
      <c r="W23" s="22">
        <v>4</v>
      </c>
      <c r="X23" s="23">
        <v>4</v>
      </c>
      <c r="Y23" s="26">
        <f>J4/K4</f>
        <v>0.93939393939393945</v>
      </c>
    </row>
    <row r="25" spans="1:25" x14ac:dyDescent="0.25">
      <c r="A25" s="8" t="s">
        <v>21</v>
      </c>
      <c r="B25" s="8"/>
      <c r="C25" s="8"/>
    </row>
    <row r="26" spans="1:25" x14ac:dyDescent="0.25">
      <c r="A26" s="1" t="s">
        <v>14</v>
      </c>
      <c r="B26" s="1" t="s">
        <v>15</v>
      </c>
      <c r="C26" s="1" t="s">
        <v>20</v>
      </c>
      <c r="N26" s="27" t="s">
        <v>45</v>
      </c>
      <c r="O26" s="27"/>
      <c r="P26" s="27"/>
      <c r="Q26" s="27"/>
      <c r="R26" s="27"/>
      <c r="S26" s="27"/>
    </row>
    <row r="27" spans="1:25" x14ac:dyDescent="0.25">
      <c r="A27" s="1">
        <v>1</v>
      </c>
      <c r="B27" s="1">
        <v>0</v>
      </c>
      <c r="N27" s="11" t="s">
        <v>0</v>
      </c>
      <c r="O27" s="24" t="s">
        <v>44</v>
      </c>
      <c r="P27" s="24" t="s">
        <v>43</v>
      </c>
      <c r="R27" t="s">
        <v>46</v>
      </c>
      <c r="U27" s="12"/>
      <c r="Y27"/>
    </row>
    <row r="28" spans="1:25" x14ac:dyDescent="0.25">
      <c r="A28" s="1">
        <v>2</v>
      </c>
      <c r="B28" s="1">
        <v>1</v>
      </c>
      <c r="N28" s="12" t="s">
        <v>2</v>
      </c>
      <c r="O28" s="25">
        <f>AVERAGE(O3:O23)</f>
        <v>3.9047619047619047</v>
      </c>
      <c r="P28" s="25">
        <f>SUMPRODUCT(O3:O23,Y3:Y23)/SUM(Y3:Y23)</f>
        <v>3.9105339105339092</v>
      </c>
      <c r="R28" s="25">
        <f>O28-P28</f>
        <v>-5.7720057720045403E-3</v>
      </c>
      <c r="U28" s="12"/>
      <c r="Y28"/>
    </row>
    <row r="29" spans="1:25" x14ac:dyDescent="0.25">
      <c r="A29" s="1">
        <v>3</v>
      </c>
      <c r="B29" s="1">
        <v>4</v>
      </c>
      <c r="N29" s="12" t="s">
        <v>3</v>
      </c>
      <c r="O29" s="25">
        <f>AVERAGE(P3:P23)</f>
        <v>3.9047619047619047</v>
      </c>
      <c r="P29" s="25">
        <f>SUMPRODUCT(P3:P23,Y3:Y23)/SUM(Y3:Y23)</f>
        <v>3.9105339105339119</v>
      </c>
      <c r="R29" s="25">
        <f>O29-P29</f>
        <v>-5.7720057720072049E-3</v>
      </c>
      <c r="U29" s="12"/>
      <c r="Y29"/>
    </row>
    <row r="30" spans="1:25" x14ac:dyDescent="0.25">
      <c r="A30" s="1">
        <v>4</v>
      </c>
      <c r="B30" s="1">
        <v>12</v>
      </c>
      <c r="N30" s="12" t="s">
        <v>4</v>
      </c>
      <c r="O30" s="25">
        <f>AVERAGE(Q3:Q23)</f>
        <v>3.6666666666666665</v>
      </c>
      <c r="P30" s="25">
        <f>SUMPRODUCT(Q3:Q23,Y3:Y23)/SUM(Y3:Y23)</f>
        <v>3.6464646464646457</v>
      </c>
      <c r="R30" s="25">
        <f>O30-P30</f>
        <v>2.0202020202020776E-2</v>
      </c>
      <c r="U30" s="12"/>
      <c r="Y30"/>
    </row>
    <row r="31" spans="1:25" x14ac:dyDescent="0.25">
      <c r="A31" s="1">
        <v>5</v>
      </c>
      <c r="B31" s="1">
        <v>4</v>
      </c>
      <c r="N31" s="12" t="s">
        <v>5</v>
      </c>
      <c r="O31" s="25">
        <f>AVERAGE(R3:R23)</f>
        <v>3.4285714285714284</v>
      </c>
      <c r="P31" s="25">
        <f>SUMPRODUCT(R3:R23,Y3:Y23)/SUM(Y3:Y23)</f>
        <v>3.4025974025974031</v>
      </c>
      <c r="R31" s="25">
        <f>O31-P31</f>
        <v>2.5974025974025317E-2</v>
      </c>
      <c r="U31" s="12"/>
      <c r="Y31"/>
    </row>
    <row r="32" spans="1:25" x14ac:dyDescent="0.25">
      <c r="A32" s="9" t="s">
        <v>18</v>
      </c>
      <c r="B32" s="9">
        <f>SUM(B27:B31)</f>
        <v>21</v>
      </c>
      <c r="C32" s="2">
        <f>(B33/B32)</f>
        <v>0.76190476190476186</v>
      </c>
      <c r="N32" s="12" t="s">
        <v>6</v>
      </c>
      <c r="O32" s="25">
        <f>AVERAGE(S3:S23)</f>
        <v>3.2857142857142856</v>
      </c>
      <c r="P32" s="25">
        <f>SUMPRODUCT(S3:S23,Y3:Y23)/SUM(Y3:Y23)</f>
        <v>3.268398268398268</v>
      </c>
      <c r="R32" s="25">
        <f>O32-P32</f>
        <v>1.7316017316017618E-2</v>
      </c>
      <c r="U32" s="12"/>
      <c r="Y32"/>
    </row>
    <row r="33" spans="1:25" x14ac:dyDescent="0.25">
      <c r="A33" s="9" t="s">
        <v>19</v>
      </c>
      <c r="B33" s="9">
        <f>(B30+B31)</f>
        <v>16</v>
      </c>
      <c r="C33" s="7">
        <f>(B33/B32)*100</f>
        <v>76.19047619047619</v>
      </c>
      <c r="N33" s="12" t="s">
        <v>7</v>
      </c>
      <c r="O33" s="25">
        <f>AVERAGE(T3:T23)</f>
        <v>3.3809523809523809</v>
      </c>
      <c r="P33" s="25">
        <f>SUMPRODUCT(T3:T23,Y3:Y23)/SUM(Y3:Y23)</f>
        <v>3.3780663780663795</v>
      </c>
      <c r="R33" s="25">
        <f>O33-P33</f>
        <v>2.886002886001382E-3</v>
      </c>
      <c r="U33" s="12"/>
      <c r="Y33"/>
    </row>
    <row r="34" spans="1:25" x14ac:dyDescent="0.25">
      <c r="N34" s="12" t="s">
        <v>8</v>
      </c>
      <c r="O34" s="25">
        <f>AVERAGE(U3:U23)</f>
        <v>3.5238095238095237</v>
      </c>
      <c r="P34" s="25">
        <f>SUMPRODUCT(U3:U23,Y3:Y23)/SUM(Y3:Y23)</f>
        <v>3.5122655122655133</v>
      </c>
      <c r="R34" s="25">
        <f>O34-P34</f>
        <v>1.1544011544010413E-2</v>
      </c>
      <c r="U34" s="12"/>
      <c r="Y34"/>
    </row>
    <row r="35" spans="1:25" x14ac:dyDescent="0.25">
      <c r="A35" s="8" t="s">
        <v>22</v>
      </c>
      <c r="B35" s="8"/>
      <c r="C35" s="8"/>
      <c r="N35" s="12" t="s">
        <v>9</v>
      </c>
      <c r="O35" s="25">
        <f>AVERAGE(V3:V23)</f>
        <v>3.3333333333333335</v>
      </c>
      <c r="P35" s="25">
        <f>SUMPRODUCT(V3:V23,Y3:Y23)/SUM(Y3:Y23)</f>
        <v>3.3333333333333335</v>
      </c>
      <c r="R35" s="25">
        <f>O35-P35</f>
        <v>0</v>
      </c>
      <c r="U35" s="12"/>
      <c r="Y35"/>
    </row>
    <row r="36" spans="1:25" x14ac:dyDescent="0.25">
      <c r="A36" s="1" t="s">
        <v>14</v>
      </c>
      <c r="B36" s="1" t="s">
        <v>15</v>
      </c>
      <c r="C36" s="1" t="s">
        <v>20</v>
      </c>
      <c r="N36" s="12" t="s">
        <v>10</v>
      </c>
      <c r="O36" s="25">
        <f>AVERAGE(W3:W23)</f>
        <v>3.4285714285714284</v>
      </c>
      <c r="P36" s="25">
        <f>SUMPRODUCT(W3:W23,Y3:Y23)/SUM(Y3:Y23)</f>
        <v>3.4227994227994225</v>
      </c>
      <c r="R36" s="25">
        <f>O36-P36</f>
        <v>5.7720057720058726E-3</v>
      </c>
      <c r="U36" s="12"/>
      <c r="Y36"/>
    </row>
    <row r="37" spans="1:25" x14ac:dyDescent="0.25">
      <c r="A37" s="1">
        <v>1</v>
      </c>
      <c r="B37" s="1">
        <v>0</v>
      </c>
      <c r="N37" s="12" t="s">
        <v>11</v>
      </c>
      <c r="O37" s="25">
        <f>AVERAGE(X3:X23)</f>
        <v>3.8095238095238093</v>
      </c>
      <c r="P37" s="25">
        <f>SUMPRODUCT(X3:X23,Y3:Y23)/SUM(Y3:Y23)</f>
        <v>3.8008658008658007</v>
      </c>
      <c r="R37" s="25">
        <f>O37-P37</f>
        <v>8.6580086580085869E-3</v>
      </c>
      <c r="U37" s="12"/>
      <c r="Y37"/>
    </row>
    <row r="38" spans="1:25" x14ac:dyDescent="0.25">
      <c r="A38" s="1">
        <v>2</v>
      </c>
      <c r="B38" s="1">
        <v>2</v>
      </c>
    </row>
    <row r="39" spans="1:25" x14ac:dyDescent="0.25">
      <c r="A39" s="1">
        <v>3</v>
      </c>
      <c r="B39" s="1">
        <v>6</v>
      </c>
    </row>
    <row r="40" spans="1:25" x14ac:dyDescent="0.25">
      <c r="A40" s="1">
        <v>4</v>
      </c>
      <c r="B40" s="1">
        <v>10</v>
      </c>
    </row>
    <row r="41" spans="1:25" x14ac:dyDescent="0.25">
      <c r="A41" s="1">
        <v>5</v>
      </c>
      <c r="B41" s="1">
        <v>3</v>
      </c>
    </row>
    <row r="42" spans="1:25" x14ac:dyDescent="0.25">
      <c r="A42" s="9" t="s">
        <v>18</v>
      </c>
      <c r="B42" s="9">
        <f>SUM(B37:B41)</f>
        <v>21</v>
      </c>
      <c r="C42" s="2">
        <f>(B43/B42)</f>
        <v>0.61904761904761907</v>
      </c>
    </row>
    <row r="43" spans="1:25" x14ac:dyDescent="0.25">
      <c r="A43" s="9" t="s">
        <v>19</v>
      </c>
      <c r="B43" s="9">
        <f>(B40+B41)</f>
        <v>13</v>
      </c>
      <c r="C43" s="7">
        <f>(B43/B42)*100</f>
        <v>61.904761904761905</v>
      </c>
    </row>
    <row r="45" spans="1:25" x14ac:dyDescent="0.25">
      <c r="A45" s="8" t="s">
        <v>23</v>
      </c>
      <c r="B45" s="8"/>
      <c r="C45" s="8"/>
    </row>
    <row r="46" spans="1:25" x14ac:dyDescent="0.25">
      <c r="A46" s="1" t="s">
        <v>14</v>
      </c>
      <c r="B46" s="1" t="s">
        <v>15</v>
      </c>
      <c r="C46" s="1" t="s">
        <v>20</v>
      </c>
    </row>
    <row r="47" spans="1:25" x14ac:dyDescent="0.25">
      <c r="A47" s="1">
        <v>1</v>
      </c>
      <c r="B47" s="1">
        <v>1</v>
      </c>
    </row>
    <row r="48" spans="1:25" x14ac:dyDescent="0.25">
      <c r="A48" s="1">
        <v>2</v>
      </c>
      <c r="B48" s="1">
        <v>2</v>
      </c>
    </row>
    <row r="49" spans="1:3" x14ac:dyDescent="0.25">
      <c r="A49" s="1">
        <v>3</v>
      </c>
      <c r="B49" s="1">
        <v>8</v>
      </c>
    </row>
    <row r="50" spans="1:3" x14ac:dyDescent="0.25">
      <c r="A50" s="1">
        <v>4</v>
      </c>
      <c r="B50" s="1">
        <v>7</v>
      </c>
    </row>
    <row r="51" spans="1:3" x14ac:dyDescent="0.25">
      <c r="A51" s="1">
        <v>5</v>
      </c>
      <c r="B51" s="1">
        <v>3</v>
      </c>
    </row>
    <row r="52" spans="1:3" x14ac:dyDescent="0.25">
      <c r="A52" s="9" t="s">
        <v>18</v>
      </c>
      <c r="B52" s="9">
        <f>SUM(B47:B51)</f>
        <v>21</v>
      </c>
      <c r="C52" s="2">
        <f>(B53/B52)</f>
        <v>0.47619047619047616</v>
      </c>
    </row>
    <row r="53" spans="1:3" x14ac:dyDescent="0.25">
      <c r="A53" s="9" t="s">
        <v>19</v>
      </c>
      <c r="B53" s="9">
        <f>(B50+B51)</f>
        <v>10</v>
      </c>
      <c r="C53" s="7">
        <f>(B53/B52)*100</f>
        <v>47.619047619047613</v>
      </c>
    </row>
    <row r="55" spans="1:3" x14ac:dyDescent="0.25">
      <c r="A55" s="8" t="s">
        <v>24</v>
      </c>
      <c r="B55" s="8"/>
      <c r="C55" s="8"/>
    </row>
    <row r="56" spans="1:3" x14ac:dyDescent="0.25">
      <c r="A56" s="1" t="s">
        <v>14</v>
      </c>
      <c r="B56" s="1" t="s">
        <v>15</v>
      </c>
      <c r="C56" s="1" t="s">
        <v>20</v>
      </c>
    </row>
    <row r="57" spans="1:3" x14ac:dyDescent="0.25">
      <c r="A57" s="1">
        <v>1</v>
      </c>
      <c r="B57" s="1">
        <v>0</v>
      </c>
    </row>
    <row r="58" spans="1:3" x14ac:dyDescent="0.25">
      <c r="A58" s="1">
        <v>2</v>
      </c>
      <c r="B58" s="1">
        <v>5</v>
      </c>
    </row>
    <row r="59" spans="1:3" x14ac:dyDescent="0.25">
      <c r="A59" s="1">
        <v>3</v>
      </c>
      <c r="B59" s="1">
        <v>7</v>
      </c>
    </row>
    <row r="60" spans="1:3" x14ac:dyDescent="0.25">
      <c r="A60" s="1">
        <v>4</v>
      </c>
      <c r="B60" s="1">
        <v>7</v>
      </c>
    </row>
    <row r="61" spans="1:3" x14ac:dyDescent="0.25">
      <c r="A61" s="1">
        <v>5</v>
      </c>
      <c r="B61" s="1">
        <v>2</v>
      </c>
    </row>
    <row r="62" spans="1:3" x14ac:dyDescent="0.25">
      <c r="A62" s="9" t="s">
        <v>18</v>
      </c>
      <c r="B62" s="9">
        <f>SUM(B57:B61)</f>
        <v>21</v>
      </c>
      <c r="C62" s="2">
        <f>(B63/B62)</f>
        <v>0.42857142857142855</v>
      </c>
    </row>
    <row r="63" spans="1:3" x14ac:dyDescent="0.25">
      <c r="A63" s="9" t="s">
        <v>19</v>
      </c>
      <c r="B63" s="9">
        <f>(B60+B61)</f>
        <v>9</v>
      </c>
      <c r="C63" s="7">
        <f>(B63/B62)*100</f>
        <v>42.857142857142854</v>
      </c>
    </row>
    <row r="65" spans="1:3" x14ac:dyDescent="0.25">
      <c r="A65" s="8" t="s">
        <v>25</v>
      </c>
      <c r="B65" s="8"/>
      <c r="C65" s="8"/>
    </row>
    <row r="66" spans="1:3" x14ac:dyDescent="0.25">
      <c r="A66" s="1" t="s">
        <v>14</v>
      </c>
      <c r="B66" s="1" t="s">
        <v>15</v>
      </c>
      <c r="C66" s="1" t="s">
        <v>20</v>
      </c>
    </row>
    <row r="67" spans="1:3" x14ac:dyDescent="0.25">
      <c r="A67" s="1">
        <v>1</v>
      </c>
      <c r="B67" s="1">
        <v>0</v>
      </c>
    </row>
    <row r="68" spans="1:3" x14ac:dyDescent="0.25">
      <c r="A68" s="1">
        <v>2</v>
      </c>
      <c r="B68" s="1">
        <v>4</v>
      </c>
    </row>
    <row r="69" spans="1:3" x14ac:dyDescent="0.25">
      <c r="A69" s="1">
        <v>3</v>
      </c>
      <c r="B69" s="1">
        <v>8</v>
      </c>
    </row>
    <row r="70" spans="1:3" x14ac:dyDescent="0.25">
      <c r="A70" s="1">
        <v>4</v>
      </c>
      <c r="B70" s="1">
        <v>6</v>
      </c>
    </row>
    <row r="71" spans="1:3" x14ac:dyDescent="0.25">
      <c r="A71" s="1">
        <v>5</v>
      </c>
      <c r="B71" s="1">
        <v>3</v>
      </c>
    </row>
    <row r="72" spans="1:3" x14ac:dyDescent="0.25">
      <c r="A72" s="9" t="s">
        <v>18</v>
      </c>
      <c r="B72" s="9">
        <f>SUM(B67:B71)</f>
        <v>21</v>
      </c>
      <c r="C72" s="2">
        <f>(B73/B72)</f>
        <v>0.42857142857142855</v>
      </c>
    </row>
    <row r="73" spans="1:3" x14ac:dyDescent="0.25">
      <c r="A73" s="9" t="s">
        <v>19</v>
      </c>
      <c r="B73" s="9">
        <f>(B70+B71)</f>
        <v>9</v>
      </c>
      <c r="C73" s="7">
        <f>(B73/B72)*100</f>
        <v>42.857142857142854</v>
      </c>
    </row>
    <row r="75" spans="1:3" x14ac:dyDescent="0.25">
      <c r="A75" s="8" t="s">
        <v>26</v>
      </c>
      <c r="B75" s="8"/>
      <c r="C75" s="8"/>
    </row>
    <row r="76" spans="1:3" x14ac:dyDescent="0.25">
      <c r="A76" s="1" t="s">
        <v>14</v>
      </c>
      <c r="B76" s="1" t="s">
        <v>15</v>
      </c>
      <c r="C76" s="1" t="s">
        <v>20</v>
      </c>
    </row>
    <row r="77" spans="1:3" x14ac:dyDescent="0.25">
      <c r="A77" s="1">
        <v>1</v>
      </c>
      <c r="B77" s="1">
        <v>0</v>
      </c>
    </row>
    <row r="78" spans="1:3" x14ac:dyDescent="0.25">
      <c r="A78" s="1">
        <v>2</v>
      </c>
      <c r="B78" s="1">
        <v>2</v>
      </c>
    </row>
    <row r="79" spans="1:3" x14ac:dyDescent="0.25">
      <c r="A79" s="1">
        <v>3</v>
      </c>
      <c r="B79" s="1">
        <v>8</v>
      </c>
    </row>
    <row r="80" spans="1:3" x14ac:dyDescent="0.25">
      <c r="A80" s="1">
        <v>4</v>
      </c>
      <c r="B80" s="1">
        <v>9</v>
      </c>
    </row>
    <row r="81" spans="1:3" x14ac:dyDescent="0.25">
      <c r="A81" s="1">
        <v>5</v>
      </c>
      <c r="B81" s="1">
        <v>2</v>
      </c>
    </row>
    <row r="82" spans="1:3" x14ac:dyDescent="0.25">
      <c r="A82" s="9" t="s">
        <v>18</v>
      </c>
      <c r="B82" s="9">
        <f>SUM(B77:B81)</f>
        <v>21</v>
      </c>
      <c r="C82" s="2">
        <f>(B83/B82)</f>
        <v>0.52380952380952384</v>
      </c>
    </row>
    <row r="83" spans="1:3" x14ac:dyDescent="0.25">
      <c r="A83" s="9" t="s">
        <v>19</v>
      </c>
      <c r="B83" s="9">
        <f>(B80+B81)</f>
        <v>11</v>
      </c>
      <c r="C83" s="7">
        <f>(B83/B82)*100</f>
        <v>52.380952380952387</v>
      </c>
    </row>
    <row r="85" spans="1:3" x14ac:dyDescent="0.25">
      <c r="A85" s="8" t="s">
        <v>27</v>
      </c>
      <c r="B85" s="8"/>
      <c r="C85" s="8"/>
    </row>
    <row r="86" spans="1:3" x14ac:dyDescent="0.25">
      <c r="A86" s="1" t="s">
        <v>14</v>
      </c>
      <c r="B86" s="1" t="s">
        <v>15</v>
      </c>
      <c r="C86" s="1" t="s">
        <v>20</v>
      </c>
    </row>
    <row r="87" spans="1:3" x14ac:dyDescent="0.25">
      <c r="A87" s="1">
        <v>1</v>
      </c>
      <c r="B87" s="1">
        <v>0</v>
      </c>
    </row>
    <row r="88" spans="1:3" x14ac:dyDescent="0.25">
      <c r="A88" s="1">
        <v>2</v>
      </c>
      <c r="B88" s="1">
        <v>3</v>
      </c>
    </row>
    <row r="89" spans="1:3" x14ac:dyDescent="0.25">
      <c r="A89" s="1">
        <v>3</v>
      </c>
      <c r="B89" s="1">
        <v>9</v>
      </c>
    </row>
    <row r="90" spans="1:3" x14ac:dyDescent="0.25">
      <c r="A90" s="1">
        <v>4</v>
      </c>
      <c r="B90" s="1">
        <v>8</v>
      </c>
    </row>
    <row r="91" spans="1:3" x14ac:dyDescent="0.25">
      <c r="A91" s="1">
        <v>5</v>
      </c>
      <c r="B91" s="1">
        <v>1</v>
      </c>
    </row>
    <row r="92" spans="1:3" x14ac:dyDescent="0.25">
      <c r="A92" s="9" t="s">
        <v>18</v>
      </c>
      <c r="B92" s="9">
        <f>SUM(B87:B91)</f>
        <v>21</v>
      </c>
      <c r="C92" s="2">
        <f>(B93/B92)</f>
        <v>0.42857142857142855</v>
      </c>
    </row>
    <row r="93" spans="1:3" x14ac:dyDescent="0.25">
      <c r="A93" s="9" t="s">
        <v>19</v>
      </c>
      <c r="B93" s="9">
        <f>(B90+B91)</f>
        <v>9</v>
      </c>
      <c r="C93" s="7">
        <f>(B93/B92)*100</f>
        <v>42.857142857142854</v>
      </c>
    </row>
    <row r="95" spans="1:3" x14ac:dyDescent="0.25">
      <c r="A95" s="8" t="s">
        <v>28</v>
      </c>
      <c r="B95" s="8"/>
      <c r="C95" s="8"/>
    </row>
    <row r="96" spans="1:3" x14ac:dyDescent="0.25">
      <c r="A96" s="1" t="s">
        <v>14</v>
      </c>
      <c r="B96" s="1" t="s">
        <v>15</v>
      </c>
      <c r="C96" s="1" t="s">
        <v>20</v>
      </c>
    </row>
    <row r="97" spans="1:3" x14ac:dyDescent="0.25">
      <c r="A97" s="1">
        <v>1</v>
      </c>
      <c r="B97" s="1">
        <v>0</v>
      </c>
    </row>
    <row r="98" spans="1:3" x14ac:dyDescent="0.25">
      <c r="A98" s="1">
        <v>2</v>
      </c>
      <c r="B98" s="1">
        <v>3</v>
      </c>
    </row>
    <row r="99" spans="1:3" x14ac:dyDescent="0.25">
      <c r="A99" s="1">
        <v>3</v>
      </c>
      <c r="B99" s="1">
        <v>8</v>
      </c>
    </row>
    <row r="100" spans="1:3" x14ac:dyDescent="0.25">
      <c r="A100" s="1">
        <v>4</v>
      </c>
      <c r="B100" s="1">
        <v>8</v>
      </c>
    </row>
    <row r="101" spans="1:3" x14ac:dyDescent="0.25">
      <c r="A101" s="1">
        <v>5</v>
      </c>
      <c r="B101" s="1">
        <v>2</v>
      </c>
    </row>
    <row r="102" spans="1:3" x14ac:dyDescent="0.25">
      <c r="A102" s="9" t="s">
        <v>18</v>
      </c>
      <c r="B102" s="9">
        <f>SUM(B97:B101)</f>
        <v>21</v>
      </c>
      <c r="C102" s="2">
        <f>(B103/B102)</f>
        <v>0.47619047619047616</v>
      </c>
    </row>
    <row r="103" spans="1:3" x14ac:dyDescent="0.25">
      <c r="A103" s="9" t="s">
        <v>19</v>
      </c>
      <c r="B103" s="9">
        <f>(B100+B101)</f>
        <v>10</v>
      </c>
      <c r="C103" s="7">
        <f>(B103/B102)*100</f>
        <v>47.619047619047613</v>
      </c>
    </row>
    <row r="105" spans="1:3" x14ac:dyDescent="0.25">
      <c r="A105" s="8" t="s">
        <v>29</v>
      </c>
      <c r="B105" s="8"/>
      <c r="C105" s="8"/>
    </row>
    <row r="106" spans="1:3" x14ac:dyDescent="0.25">
      <c r="A106" s="1" t="s">
        <v>14</v>
      </c>
      <c r="B106" s="1" t="s">
        <v>15</v>
      </c>
      <c r="C106" s="1" t="s">
        <v>20</v>
      </c>
    </row>
    <row r="107" spans="1:3" x14ac:dyDescent="0.25">
      <c r="A107" s="1">
        <v>1</v>
      </c>
      <c r="B107" s="1">
        <v>0</v>
      </c>
    </row>
    <row r="108" spans="1:3" x14ac:dyDescent="0.25">
      <c r="A108" s="1">
        <v>2</v>
      </c>
      <c r="B108" s="1">
        <v>2</v>
      </c>
    </row>
    <row r="109" spans="1:3" x14ac:dyDescent="0.25">
      <c r="A109" s="1">
        <v>3</v>
      </c>
      <c r="B109" s="1">
        <v>4</v>
      </c>
    </row>
    <row r="110" spans="1:3" x14ac:dyDescent="0.25">
      <c r="A110" s="1">
        <v>4</v>
      </c>
      <c r="B110" s="1">
        <v>11</v>
      </c>
    </row>
    <row r="111" spans="1:3" x14ac:dyDescent="0.25">
      <c r="A111" s="1">
        <v>5</v>
      </c>
      <c r="B111" s="1">
        <v>4</v>
      </c>
    </row>
    <row r="112" spans="1:3" x14ac:dyDescent="0.25">
      <c r="A112" s="9" t="s">
        <v>18</v>
      </c>
      <c r="B112" s="9">
        <f>SUM(B107:B111)</f>
        <v>21</v>
      </c>
      <c r="C112" s="2">
        <f>(B113/B112)</f>
        <v>0.7142857142857143</v>
      </c>
    </row>
    <row r="113" spans="1:3" x14ac:dyDescent="0.25">
      <c r="A113" s="9" t="s">
        <v>19</v>
      </c>
      <c r="B113" s="9">
        <f>(B110+B111)</f>
        <v>15</v>
      </c>
      <c r="C113" s="7">
        <f>(B113/B112)*100</f>
        <v>71.428571428571431</v>
      </c>
    </row>
  </sheetData>
  <mergeCells count="14">
    <mergeCell ref="N26:S26"/>
    <mergeCell ref="A105:C105"/>
    <mergeCell ref="G1:L1"/>
    <mergeCell ref="N1:Y1"/>
    <mergeCell ref="A45:C45"/>
    <mergeCell ref="A55:C55"/>
    <mergeCell ref="A65:C65"/>
    <mergeCell ref="A75:C75"/>
    <mergeCell ref="A85:C85"/>
    <mergeCell ref="A95:C95"/>
    <mergeCell ref="A14:C14"/>
    <mergeCell ref="A15:C15"/>
    <mergeCell ref="A25:C25"/>
    <mergeCell ref="A35:C35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noooolii</dc:creator>
  <cp:lastModifiedBy>princess noooolii</cp:lastModifiedBy>
  <dcterms:created xsi:type="dcterms:W3CDTF">2026-05-14T14:17:04Z</dcterms:created>
  <dcterms:modified xsi:type="dcterms:W3CDTF">2026-05-14T19:35:05Z</dcterms:modified>
</cp:coreProperties>
</file>